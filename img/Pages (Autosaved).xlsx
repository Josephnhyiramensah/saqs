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cBookAir\Desktop\"/>
    </mc:Choice>
  </mc:AlternateContent>
  <bookViews>
    <workbookView xWindow="0" yWindow="0" windowWidth="19200" windowHeight="7875" activeTab="1"/>
  </bookViews>
  <sheets>
    <sheet name="GOLDCHEST" sheetId="1" r:id="rId1"/>
    <sheet name="HEALTHNOTES" sheetId="3" r:id="rId2"/>
    <sheet name="Sheet2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5" l="1"/>
  <c r="F11" i="5"/>
  <c r="F10" i="5"/>
  <c r="F9" i="5"/>
  <c r="F8" i="5"/>
  <c r="F7" i="5"/>
  <c r="F5" i="5"/>
  <c r="F6" i="5"/>
  <c r="F4" i="5"/>
  <c r="F3" i="5"/>
  <c r="F2" i="5"/>
  <c r="E12" i="5" l="1"/>
  <c r="E13" i="5"/>
  <c r="E4" i="5"/>
  <c r="E5" i="5"/>
  <c r="E6" i="5"/>
  <c r="E7" i="5"/>
  <c r="E8" i="5"/>
  <c r="E9" i="5"/>
  <c r="E10" i="5"/>
  <c r="E11" i="5"/>
  <c r="E3" i="5"/>
  <c r="E2" i="5"/>
  <c r="E1" i="5"/>
</calcChain>
</file>

<file path=xl/sharedStrings.xml><?xml version="1.0" encoding="utf-8"?>
<sst xmlns="http://schemas.openxmlformats.org/spreadsheetml/2006/main" count="358" uniqueCount="303">
  <si>
    <t>COMPANY</t>
  </si>
  <si>
    <t>USERS</t>
  </si>
  <si>
    <t>LEDGERS</t>
  </si>
  <si>
    <t>PURCHASES</t>
  </si>
  <si>
    <t>SALES</t>
  </si>
  <si>
    <t>RECEIPTS</t>
  </si>
  <si>
    <t>PAYMENT</t>
  </si>
  <si>
    <t>CONTRA</t>
  </si>
  <si>
    <t>JOURNAL</t>
  </si>
  <si>
    <t>PURCHASES_REPORT</t>
  </si>
  <si>
    <t>SALES_REPORT</t>
  </si>
  <si>
    <t>LEDGER_REPORT</t>
  </si>
  <si>
    <t>DETAILED</t>
  </si>
  <si>
    <t>SUMMARY</t>
  </si>
  <si>
    <t>View</t>
  </si>
  <si>
    <t>Create</t>
  </si>
  <si>
    <t>Edit</t>
  </si>
  <si>
    <t>Delete</t>
  </si>
  <si>
    <t>Export</t>
  </si>
  <si>
    <t>PATIENT</t>
  </si>
  <si>
    <t>ATTENDANCE</t>
  </si>
  <si>
    <t>DIAGNOSIS</t>
  </si>
  <si>
    <t>LABS</t>
  </si>
  <si>
    <t>RADIOLOGY</t>
  </si>
  <si>
    <t>PRESCRIPTION</t>
  </si>
  <si>
    <t>SETUP</t>
  </si>
  <si>
    <t>PROCEDURE/SURGERY</t>
  </si>
  <si>
    <t>DRUGS</t>
  </si>
  <si>
    <t>CONSUMABLES</t>
  </si>
  <si>
    <t>CLINIC</t>
  </si>
  <si>
    <t>WARD</t>
  </si>
  <si>
    <t>USER</t>
  </si>
  <si>
    <t>SERVICE LIST</t>
  </si>
  <si>
    <t>DIAGNOSIS LIST</t>
  </si>
  <si>
    <t>LAB LIST</t>
  </si>
  <si>
    <t>RADIOLOGY LIST</t>
  </si>
  <si>
    <t>PATIENT FOLDER</t>
  </si>
  <si>
    <t>EYE</t>
  </si>
  <si>
    <t>DENTAL</t>
  </si>
  <si>
    <t>PHYSIO</t>
  </si>
  <si>
    <t>RECEIPT</t>
  </si>
  <si>
    <t>REFUND</t>
  </si>
  <si>
    <t>DISCOUNT</t>
  </si>
  <si>
    <t>STOCK TRANSFER</t>
  </si>
  <si>
    <t>STOCK ADJUSTMENT</t>
  </si>
  <si>
    <t>PAYROLL</t>
  </si>
  <si>
    <t>STOCK REPORT</t>
  </si>
  <si>
    <t>TALLY CARD</t>
  </si>
  <si>
    <t>LEDGER REPORT</t>
  </si>
  <si>
    <t>LEDGER SUMMARY</t>
  </si>
  <si>
    <t>LEDGER DETAILS</t>
  </si>
  <si>
    <t>DOCTORS ATTENDANCE REGISTER</t>
  </si>
  <si>
    <t>STATISTICS</t>
  </si>
  <si>
    <t>INCIDENCE OF DISEASES</t>
  </si>
  <si>
    <t>STATEMENT OF OUT-PATIENT</t>
  </si>
  <si>
    <t>STATEMENT OF IN-PATIENT</t>
  </si>
  <si>
    <t>WARD STATE</t>
  </si>
  <si>
    <t>PATIENT CASH STATEMENT</t>
  </si>
  <si>
    <t>VOUCHERS</t>
  </si>
  <si>
    <t>ACCOUNTING REPORT</t>
  </si>
  <si>
    <t>SETTINGS</t>
  </si>
  <si>
    <t>NEW USER</t>
  </si>
  <si>
    <t>CHANGE PASSWORD</t>
  </si>
  <si>
    <t>PAYMENT TYPE REPORT</t>
  </si>
  <si>
    <t>TRIAL BALANCE</t>
  </si>
  <si>
    <t>PROFIT AND LOSS</t>
  </si>
  <si>
    <t>BALANCE SHEET</t>
  </si>
  <si>
    <t>CASH FLOW</t>
  </si>
  <si>
    <t>STOCK SUMMARY</t>
  </si>
  <si>
    <t>BATCH ENQUIRY</t>
  </si>
  <si>
    <t>EXPIRIES</t>
  </si>
  <si>
    <t>NEW PAYROLL</t>
  </si>
  <si>
    <t>PAYSLIPS</t>
  </si>
  <si>
    <t>PAYROLL STATEMENT</t>
  </si>
  <si>
    <t>PAYE RETURNS</t>
  </si>
  <si>
    <t>SSF RETURNS</t>
  </si>
  <si>
    <t>STOCK REQUISITION</t>
  </si>
  <si>
    <t>REVENUE</t>
  </si>
  <si>
    <t>CREATE VITALS</t>
  </si>
  <si>
    <t>EDIT VITALS</t>
  </si>
  <si>
    <t>DELETE VITALS</t>
  </si>
  <si>
    <t>HISTORY</t>
  </si>
  <si>
    <t>SERVICE</t>
  </si>
  <si>
    <t>ADMISSION - ADMIT</t>
  </si>
  <si>
    <t>ADMISSION - TRANSFER</t>
  </si>
  <si>
    <t>ADMISSION - DISCHARGE</t>
  </si>
  <si>
    <t>ADMISSION - REFERAL</t>
  </si>
  <si>
    <t>DIAGNOSIS EDIT</t>
  </si>
  <si>
    <t>DIAGNOSIS LIST ADD</t>
  </si>
  <si>
    <t>DIAGNOSIS LIST EDIT</t>
  </si>
  <si>
    <t>DIAGNOSIS LIST DELETE</t>
  </si>
  <si>
    <t>LABS LIST ADD</t>
  </si>
  <si>
    <t>LABS LIST EDIT</t>
  </si>
  <si>
    <t>LABS LIST DELETE</t>
  </si>
  <si>
    <t>CONSUMABLES LIST</t>
  </si>
  <si>
    <t>RADIOLOGY LIST ADD</t>
  </si>
  <si>
    <t>RADIOLOGY LIST EDIT</t>
  </si>
  <si>
    <t>RADIOLOGY LIST DELETE</t>
  </si>
  <si>
    <t>PRESCRIPTION/TREAMENT ADD</t>
  </si>
  <si>
    <t>PRESCRIPTION/TREAMENT EDIT</t>
  </si>
  <si>
    <t>PRESCRIPTION/TREAMENT DELETE</t>
  </si>
  <si>
    <t>CONSUMABLES LIST ADD</t>
  </si>
  <si>
    <t>CONSUMABLES LIST EDIT</t>
  </si>
  <si>
    <t>CONSUMABLES LIST DELETE</t>
  </si>
  <si>
    <t>MGT. PLAN/NURSES NOTES</t>
  </si>
  <si>
    <t>MGT. PLAN/NURSES NOTES ADD</t>
  </si>
  <si>
    <t>MGT. PLAN/NURSES NOTES EDIT</t>
  </si>
  <si>
    <t>MGT. PLAN/NURSES NOTES DELETE</t>
  </si>
  <si>
    <t>MATERNITY - PREGNANCY ADD</t>
  </si>
  <si>
    <t>MATERNITY - PREGNANCY EDIT</t>
  </si>
  <si>
    <t>MATERNITY - PREGNANCY DELETE</t>
  </si>
  <si>
    <t>MATERNITY - ANC ADD</t>
  </si>
  <si>
    <t>MATERNITY - ANC EDIT</t>
  </si>
  <si>
    <t>MATERNITY - ANC DELETE</t>
  </si>
  <si>
    <t>MATERNITY - DELIVERY ADD</t>
  </si>
  <si>
    <t>MATERNITY - DELIVERY EDIT</t>
  </si>
  <si>
    <t>MATERNITY - DELIVERY DELETE</t>
  </si>
  <si>
    <t>MATERNITY - PNC ADD</t>
  </si>
  <si>
    <t>MATERNITY - PNC EDIT</t>
  </si>
  <si>
    <t>MATERNITY - PNC DELETE</t>
  </si>
  <si>
    <t>SERVICE LIST ADD</t>
  </si>
  <si>
    <t>SERVICE LIST EDIT</t>
  </si>
  <si>
    <t>SERVICE LIST DELETE</t>
  </si>
  <si>
    <t>SURGERY/PROCEDURE LIST ADD</t>
  </si>
  <si>
    <t>SURGERY/PROCEDURE LIST EDIT</t>
  </si>
  <si>
    <t>SURGERY/PROCEDURE LIST DELETE</t>
  </si>
  <si>
    <t>SURGERY/PROCEDURE LIST OPT NOTES</t>
  </si>
  <si>
    <t>SURGERY/PROCEDURE LIST ANESTESIA</t>
  </si>
  <si>
    <t>EYE ADD</t>
  </si>
  <si>
    <t>EYE EDIT</t>
  </si>
  <si>
    <t>EYE DELETE</t>
  </si>
  <si>
    <t>DENTAL ADD</t>
  </si>
  <si>
    <t>DENTAL EDIT</t>
  </si>
  <si>
    <t>DENTAL DELETE</t>
  </si>
  <si>
    <t>PHYSIO ADD</t>
  </si>
  <si>
    <t>PHYSIO EDIT</t>
  </si>
  <si>
    <t>PHYSIO DELETE</t>
  </si>
  <si>
    <t>DIAGNOSIS CREATE</t>
  </si>
  <si>
    <t>DIAGNOSIS DELETE</t>
  </si>
  <si>
    <t>PROCEDURE/SURGERY CREATE</t>
  </si>
  <si>
    <t>PROCEDURE/SURGERY EDIT</t>
  </si>
  <si>
    <t>PROCEDURE/SURGERY DELETE</t>
  </si>
  <si>
    <t>SERVICES CREATE</t>
  </si>
  <si>
    <t>SERVICES EDIT</t>
  </si>
  <si>
    <t>SERVICES DELETE</t>
  </si>
  <si>
    <t>DRUGS CREATE</t>
  </si>
  <si>
    <t>DRUGS EDIT</t>
  </si>
  <si>
    <t>DRUGS DELETE</t>
  </si>
  <si>
    <t>CONSUMABLES CREATE</t>
  </si>
  <si>
    <t>CONSUMABLES EDIT</t>
  </si>
  <si>
    <t>CONSUMABLES DELETE</t>
  </si>
  <si>
    <t>LABS CREATE</t>
  </si>
  <si>
    <t>LABS EDIT</t>
  </si>
  <si>
    <t>LABS DELETE</t>
  </si>
  <si>
    <t>RADIOLOGY CREATE</t>
  </si>
  <si>
    <t>RADIOLOGY EDIT</t>
  </si>
  <si>
    <t>RADIOLOGY DELETE</t>
  </si>
  <si>
    <t>CLINIC CREATE</t>
  </si>
  <si>
    <t>CLINIC EDIT</t>
  </si>
  <si>
    <t>CLINIC DELETE</t>
  </si>
  <si>
    <t>WARD CREATE</t>
  </si>
  <si>
    <t>WARD EDIT</t>
  </si>
  <si>
    <t>WARD DELETE</t>
  </si>
  <si>
    <t>LEDGERS CREATE</t>
  </si>
  <si>
    <t>LEDGERS EDIT</t>
  </si>
  <si>
    <t>LEDGERS DELETE</t>
  </si>
  <si>
    <t>NHIS LIST CREATE</t>
  </si>
  <si>
    <t>NHIS LIST EDIT</t>
  </si>
  <si>
    <t>NHIS LIST DELETE</t>
  </si>
  <si>
    <t>NHIS SCHEMES CREATE</t>
  </si>
  <si>
    <t>NHIS SCHEMES EDIT</t>
  </si>
  <si>
    <t>NHIS SCHEMES DELETE</t>
  </si>
  <si>
    <t>STOCK ADJUSTMENT CREATE</t>
  </si>
  <si>
    <t>STOCK ADJUSTMENT EDIT</t>
  </si>
  <si>
    <t>STOCK ADJUSTMENT DELETE</t>
  </si>
  <si>
    <t>STOCK TRANSFER CREATE</t>
  </si>
  <si>
    <t>STOCK TRANSFER EDIT</t>
  </si>
  <si>
    <t>STOCK TRANSFER DELETE</t>
  </si>
  <si>
    <t>STOCK REQUISITION CREATE</t>
  </si>
  <si>
    <t>STOCK REQUISITION EDIT</t>
  </si>
  <si>
    <t>STOCK REQUISITION DELETE</t>
  </si>
  <si>
    <t>DISCOUNT CREATE</t>
  </si>
  <si>
    <t>DISCOUNT EDIT</t>
  </si>
  <si>
    <t>DISCOUNT DELETE</t>
  </si>
  <si>
    <t>REFUND CREATE</t>
  </si>
  <si>
    <t>REFUND EDIT</t>
  </si>
  <si>
    <t>REFUND DELETE</t>
  </si>
  <si>
    <t>SALES CREATE</t>
  </si>
  <si>
    <t>SALES EDIT</t>
  </si>
  <si>
    <t>SALES DELETE</t>
  </si>
  <si>
    <t>PURCHASES CREATE</t>
  </si>
  <si>
    <t>PURCHASES EDIT</t>
  </si>
  <si>
    <t>PURCHASES DELETE</t>
  </si>
  <si>
    <t>JOURNAL CREATE</t>
  </si>
  <si>
    <t>JOURNAL EDIT</t>
  </si>
  <si>
    <t>JOURNAL DELETE</t>
  </si>
  <si>
    <t>CONTRA CREATE</t>
  </si>
  <si>
    <t>CONTRA EDIT</t>
  </si>
  <si>
    <t>CONTRA DELETE</t>
  </si>
  <si>
    <t>PAYMENT CREATE</t>
  </si>
  <si>
    <t>PAYMENT EDIT</t>
  </si>
  <si>
    <t>PAYMENT DELETE</t>
  </si>
  <si>
    <t>RECEIPT CREATE</t>
  </si>
  <si>
    <t>RECEIPT EDIT</t>
  </si>
  <si>
    <t>RECEIPT DELETE</t>
  </si>
  <si>
    <t>COMPANY CREATE</t>
  </si>
  <si>
    <t>COMPANY EDIT</t>
  </si>
  <si>
    <t>COMPANY DELETE</t>
  </si>
  <si>
    <t>USERS AND PASSWORDS CREATE</t>
  </si>
  <si>
    <t>USERS AND PASSWORDS EDIT</t>
  </si>
  <si>
    <t>USERS AND PASSWORDS DELETE</t>
  </si>
  <si>
    <t>USER ULTRA SUPER CREATE</t>
  </si>
  <si>
    <t>USER ULTRA SUPER EDIT</t>
  </si>
  <si>
    <t>USER ULTRA SUPER DELETE</t>
  </si>
  <si>
    <t>USER ADMIN CREATE</t>
  </si>
  <si>
    <t>USER ADMIN EDIT</t>
  </si>
  <si>
    <t>USER ADMIN DELETE</t>
  </si>
  <si>
    <t>USER TYPE CREATE</t>
  </si>
  <si>
    <t>USER TYPE EDIT</t>
  </si>
  <si>
    <t>USER TYPE DELETE</t>
  </si>
  <si>
    <t>PRIVILEGES CREATE</t>
  </si>
  <si>
    <t>PRIVILEGES EDIT</t>
  </si>
  <si>
    <t>PRIVILEGES DELETE</t>
  </si>
  <si>
    <t>PATIENT CREATE</t>
  </si>
  <si>
    <t>PATIENT VIEW</t>
  </si>
  <si>
    <t>PATIENT DELETE</t>
  </si>
  <si>
    <t>HISTORY ADD</t>
  </si>
  <si>
    <t>HISTORY EDIT</t>
  </si>
  <si>
    <t>HISTORY DELETE</t>
  </si>
  <si>
    <t>CASH BILL LIST</t>
  </si>
  <si>
    <t>NEW PATIENT RECEIPT</t>
  </si>
  <si>
    <t>VITALS</t>
  </si>
  <si>
    <t>MATERNITY</t>
  </si>
  <si>
    <t>SURGERY</t>
  </si>
  <si>
    <t>ADMISSION</t>
  </si>
  <si>
    <t>NHIS</t>
  </si>
  <si>
    <t>LEDGER</t>
  </si>
  <si>
    <t>ATTENDANCE CASH STATEMENT</t>
  </si>
  <si>
    <t>TAX RATE</t>
  </si>
  <si>
    <t>MALARIA REPORT</t>
  </si>
  <si>
    <t>LAB OCCURANCE</t>
  </si>
  <si>
    <t>SURGERY OCCURANCE</t>
  </si>
  <si>
    <t>RADIOLOGY OCCURANCE</t>
  </si>
  <si>
    <t>ANC ATTENDANCE REGISTER</t>
  </si>
  <si>
    <t>ATTENDANCE CREATE</t>
  </si>
  <si>
    <t>ATTENDANCE EDIT</t>
  </si>
  <si>
    <t>ATTENDANCE DELETE</t>
  </si>
  <si>
    <t>PAYROLL LIST</t>
  </si>
  <si>
    <t>PATIENT EDIT</t>
  </si>
  <si>
    <t>ATTENDANCE VIEW</t>
  </si>
  <si>
    <t>OPD LIST VIEW</t>
  </si>
  <si>
    <t>IPD LIST VIEW</t>
  </si>
  <si>
    <t>REVENUE VIEW</t>
  </si>
  <si>
    <t>VITALS VIEW</t>
  </si>
  <si>
    <t>HISTORY VIEW</t>
  </si>
  <si>
    <t>DIAGNOSIS LIST VIEW</t>
  </si>
  <si>
    <t>LAB LIST VIEW</t>
  </si>
  <si>
    <t>RADIOLOGY LIST VIEW</t>
  </si>
  <si>
    <t>PRESCRIPTION VIEW</t>
  </si>
  <si>
    <t>CONSUMABLES LIST VIEW</t>
  </si>
  <si>
    <t>MGT. PLAN/NURSES NOTES VIEW</t>
  </si>
  <si>
    <t>MATERNITY VIEW</t>
  </si>
  <si>
    <t>SERVICE LIST VIEW</t>
  </si>
  <si>
    <t>SURGERY VIEW</t>
  </si>
  <si>
    <t>ADMISSION VIEW</t>
  </si>
  <si>
    <t>EYE VIEW</t>
  </si>
  <si>
    <t>DENTAL VIEW</t>
  </si>
  <si>
    <t>PHYSIO VIEW</t>
  </si>
  <si>
    <t>SETUP VIEW</t>
  </si>
  <si>
    <t>DIAGNOSIS VIEW</t>
  </si>
  <si>
    <t>PROCEDURE/SURGERY VIEW</t>
  </si>
  <si>
    <t>SERVICE VIEW</t>
  </si>
  <si>
    <t>DRUGS VIEW</t>
  </si>
  <si>
    <t>CONSUMABLES VIEW</t>
  </si>
  <si>
    <t>LABS VIEW</t>
  </si>
  <si>
    <t>RADIOLOGY VIEW</t>
  </si>
  <si>
    <t>CLINIC VIEW</t>
  </si>
  <si>
    <t>WARD VIEW</t>
  </si>
  <si>
    <t>LEDGERS VIEW</t>
  </si>
  <si>
    <t>NHIS VIEW</t>
  </si>
  <si>
    <t>VOUCHERS VIEW</t>
  </si>
  <si>
    <t>RECEIPT VIEW</t>
  </si>
  <si>
    <t>PAYMENT VIEW</t>
  </si>
  <si>
    <t>CONTRA VIEW</t>
  </si>
  <si>
    <t>JOURNAL VIEW</t>
  </si>
  <si>
    <t>PURCHASES VIEW</t>
  </si>
  <si>
    <t>SALES VIEW</t>
  </si>
  <si>
    <t>REFUND VIEW</t>
  </si>
  <si>
    <t>DISCOUNT VIEW</t>
  </si>
  <si>
    <t>STOCK REQUISITION VIEW</t>
  </si>
  <si>
    <t>STOCK TRANSFER VIEW</t>
  </si>
  <si>
    <t>STOCK ADJUSTMENT VIEW</t>
  </si>
  <si>
    <t>PAYROLL VIEW</t>
  </si>
  <si>
    <t>STOCK REPORT VIEW</t>
  </si>
  <si>
    <t>ACCOUNTING REPORT VIEW</t>
  </si>
  <si>
    <t>STATISTICS VIEW</t>
  </si>
  <si>
    <t>COMPANY VIEW</t>
  </si>
  <si>
    <t>USERS AND PASSWORDS VIEW</t>
  </si>
  <si>
    <t>USER ULTRA SUPER VIEW</t>
  </si>
  <si>
    <t>USER ADMIN VIEW</t>
  </si>
  <si>
    <t>USER TYPE VIEW</t>
  </si>
  <si>
    <t>PRIVILEGES VIEW</t>
  </si>
  <si>
    <t>NHIS SCHEMES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</si>
</sst>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activeCell="C17" sqref="C17"/>
    </sheetView>
  </sheetViews>
  <sheetFormatPr defaultRowHeight="14.25" x14ac:dyDescent="0.45"/>
  <cols>
    <col min="1" max="1" width="17.3984375" bestFit="1" customWidth="1"/>
    <col min="2" max="2" width="14.19921875" bestFit="1" customWidth="1"/>
  </cols>
  <sheetData>
    <row r="1" spans="1:2" x14ac:dyDescent="0.45">
      <c r="A1" t="s">
        <v>0</v>
      </c>
      <c r="B1" t="s">
        <v>14</v>
      </c>
    </row>
    <row r="2" spans="1:2" x14ac:dyDescent="0.45">
      <c r="B2" t="s">
        <v>15</v>
      </c>
    </row>
    <row r="3" spans="1:2" x14ac:dyDescent="0.45">
      <c r="B3" t="s">
        <v>16</v>
      </c>
    </row>
    <row r="4" spans="1:2" x14ac:dyDescent="0.45">
      <c r="B4" t="s">
        <v>17</v>
      </c>
    </row>
    <row r="5" spans="1:2" x14ac:dyDescent="0.45">
      <c r="A5" t="s">
        <v>1</v>
      </c>
      <c r="B5" t="s">
        <v>14</v>
      </c>
    </row>
    <row r="6" spans="1:2" x14ac:dyDescent="0.45">
      <c r="B6" t="s">
        <v>15</v>
      </c>
    </row>
    <row r="7" spans="1:2" x14ac:dyDescent="0.45">
      <c r="B7" t="s">
        <v>16</v>
      </c>
    </row>
    <row r="8" spans="1:2" x14ac:dyDescent="0.45">
      <c r="B8" t="s">
        <v>17</v>
      </c>
    </row>
    <row r="9" spans="1:2" x14ac:dyDescent="0.45">
      <c r="A9" t="s">
        <v>2</v>
      </c>
      <c r="B9" t="s">
        <v>14</v>
      </c>
    </row>
    <row r="10" spans="1:2" x14ac:dyDescent="0.45">
      <c r="B10" t="s">
        <v>15</v>
      </c>
    </row>
    <row r="11" spans="1:2" x14ac:dyDescent="0.45">
      <c r="B11" t="s">
        <v>16</v>
      </c>
    </row>
    <row r="12" spans="1:2" x14ac:dyDescent="0.45">
      <c r="B12" t="s">
        <v>17</v>
      </c>
    </row>
    <row r="13" spans="1:2" x14ac:dyDescent="0.45">
      <c r="A13" t="s">
        <v>3</v>
      </c>
      <c r="B13" t="s">
        <v>14</v>
      </c>
    </row>
    <row r="14" spans="1:2" x14ac:dyDescent="0.45">
      <c r="B14" t="s">
        <v>15</v>
      </c>
    </row>
    <row r="15" spans="1:2" x14ac:dyDescent="0.45">
      <c r="B15" t="s">
        <v>16</v>
      </c>
    </row>
    <row r="16" spans="1:2" x14ac:dyDescent="0.45">
      <c r="B16" t="s">
        <v>17</v>
      </c>
    </row>
    <row r="17" spans="1:2" x14ac:dyDescent="0.45">
      <c r="A17" t="s">
        <v>4</v>
      </c>
      <c r="B17" t="s">
        <v>14</v>
      </c>
    </row>
    <row r="18" spans="1:2" x14ac:dyDescent="0.45">
      <c r="B18" t="s">
        <v>15</v>
      </c>
    </row>
    <row r="19" spans="1:2" x14ac:dyDescent="0.45">
      <c r="B19" t="s">
        <v>16</v>
      </c>
    </row>
    <row r="20" spans="1:2" x14ac:dyDescent="0.45">
      <c r="B20" t="s">
        <v>17</v>
      </c>
    </row>
    <row r="21" spans="1:2" x14ac:dyDescent="0.45">
      <c r="A21" t="s">
        <v>5</v>
      </c>
      <c r="B21" t="s">
        <v>14</v>
      </c>
    </row>
    <row r="22" spans="1:2" x14ac:dyDescent="0.45">
      <c r="B22" t="s">
        <v>15</v>
      </c>
    </row>
    <row r="23" spans="1:2" x14ac:dyDescent="0.45">
      <c r="B23" t="s">
        <v>16</v>
      </c>
    </row>
    <row r="24" spans="1:2" x14ac:dyDescent="0.45">
      <c r="B24" t="s">
        <v>17</v>
      </c>
    </row>
    <row r="25" spans="1:2" x14ac:dyDescent="0.45">
      <c r="A25" t="s">
        <v>6</v>
      </c>
      <c r="B25" t="s">
        <v>14</v>
      </c>
    </row>
    <row r="26" spans="1:2" x14ac:dyDescent="0.45">
      <c r="B26" t="s">
        <v>15</v>
      </c>
    </row>
    <row r="27" spans="1:2" x14ac:dyDescent="0.45">
      <c r="B27" t="s">
        <v>16</v>
      </c>
    </row>
    <row r="28" spans="1:2" x14ac:dyDescent="0.45">
      <c r="B28" t="s">
        <v>17</v>
      </c>
    </row>
    <row r="29" spans="1:2" x14ac:dyDescent="0.45">
      <c r="A29" t="s">
        <v>7</v>
      </c>
      <c r="B29" t="s">
        <v>14</v>
      </c>
    </row>
    <row r="30" spans="1:2" x14ac:dyDescent="0.45">
      <c r="B30" t="s">
        <v>15</v>
      </c>
    </row>
    <row r="31" spans="1:2" x14ac:dyDescent="0.45">
      <c r="B31" t="s">
        <v>16</v>
      </c>
    </row>
    <row r="32" spans="1:2" x14ac:dyDescent="0.45">
      <c r="B32" t="s">
        <v>17</v>
      </c>
    </row>
    <row r="33" spans="1:2" x14ac:dyDescent="0.45">
      <c r="A33" t="s">
        <v>8</v>
      </c>
      <c r="B33" t="s">
        <v>14</v>
      </c>
    </row>
    <row r="34" spans="1:2" x14ac:dyDescent="0.45">
      <c r="B34" t="s">
        <v>15</v>
      </c>
    </row>
    <row r="35" spans="1:2" x14ac:dyDescent="0.45">
      <c r="B35" t="s">
        <v>16</v>
      </c>
    </row>
    <row r="36" spans="1:2" x14ac:dyDescent="0.45">
      <c r="B36" t="s">
        <v>17</v>
      </c>
    </row>
    <row r="37" spans="1:2" x14ac:dyDescent="0.45">
      <c r="A37" t="s">
        <v>9</v>
      </c>
      <c r="B37" t="s">
        <v>14</v>
      </c>
    </row>
    <row r="38" spans="1:2" x14ac:dyDescent="0.45">
      <c r="B38" t="s">
        <v>18</v>
      </c>
    </row>
    <row r="41" spans="1:2" x14ac:dyDescent="0.45">
      <c r="A41" t="s">
        <v>10</v>
      </c>
      <c r="B41" t="s">
        <v>14</v>
      </c>
    </row>
    <row r="42" spans="1:2" x14ac:dyDescent="0.45">
      <c r="B42" t="s">
        <v>18</v>
      </c>
    </row>
    <row r="45" spans="1:2" x14ac:dyDescent="0.45">
      <c r="A45" t="s">
        <v>11</v>
      </c>
      <c r="B45" t="s">
        <v>14</v>
      </c>
    </row>
    <row r="46" spans="1:2" x14ac:dyDescent="0.45">
      <c r="B46" t="s">
        <v>18</v>
      </c>
    </row>
    <row r="49" spans="1:2" x14ac:dyDescent="0.45">
      <c r="A49" t="s">
        <v>12</v>
      </c>
      <c r="B49" t="s">
        <v>14</v>
      </c>
    </row>
    <row r="50" spans="1:2" x14ac:dyDescent="0.45">
      <c r="B50" t="s">
        <v>18</v>
      </c>
    </row>
    <row r="53" spans="1:2" x14ac:dyDescent="0.45">
      <c r="A53" t="s">
        <v>13</v>
      </c>
      <c r="B53" t="s">
        <v>14</v>
      </c>
    </row>
    <row r="54" spans="1:2" x14ac:dyDescent="0.45">
      <c r="B5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"/>
  <sheetViews>
    <sheetView tabSelected="1" workbookViewId="0">
      <selection activeCell="E11" sqref="E11"/>
    </sheetView>
  </sheetViews>
  <sheetFormatPr defaultRowHeight="14.25" x14ac:dyDescent="0.45"/>
  <cols>
    <col min="1" max="1" width="18.3984375" bestFit="1" customWidth="1"/>
    <col min="2" max="2" width="22.59765625" bestFit="1" customWidth="1"/>
    <col min="3" max="3" width="31.796875" bestFit="1" customWidth="1"/>
  </cols>
  <sheetData>
    <row r="1" spans="1:4" x14ac:dyDescent="0.45">
      <c r="A1" t="s">
        <v>19</v>
      </c>
      <c r="B1" t="s">
        <v>19</v>
      </c>
      <c r="C1" t="s">
        <v>224</v>
      </c>
    </row>
    <row r="2" spans="1:4" x14ac:dyDescent="0.45">
      <c r="C2" t="s">
        <v>223</v>
      </c>
    </row>
    <row r="3" spans="1:4" x14ac:dyDescent="0.45">
      <c r="C3" t="s">
        <v>248</v>
      </c>
    </row>
    <row r="4" spans="1:4" x14ac:dyDescent="0.45">
      <c r="C4" t="s">
        <v>225</v>
      </c>
    </row>
    <row r="5" spans="1:4" x14ac:dyDescent="0.45">
      <c r="A5" t="s">
        <v>20</v>
      </c>
      <c r="B5" t="s">
        <v>20</v>
      </c>
      <c r="C5" t="s">
        <v>249</v>
      </c>
      <c r="D5">
        <v>17</v>
      </c>
    </row>
    <row r="6" spans="1:4" x14ac:dyDescent="0.45">
      <c r="C6" t="s">
        <v>244</v>
      </c>
      <c r="D6">
        <v>17</v>
      </c>
    </row>
    <row r="7" spans="1:4" x14ac:dyDescent="0.45">
      <c r="C7" t="s">
        <v>245</v>
      </c>
      <c r="D7">
        <v>17</v>
      </c>
    </row>
    <row r="8" spans="1:4" x14ac:dyDescent="0.45">
      <c r="C8" t="s">
        <v>246</v>
      </c>
      <c r="D8">
        <v>17</v>
      </c>
    </row>
    <row r="9" spans="1:4" x14ac:dyDescent="0.45">
      <c r="C9" t="s">
        <v>250</v>
      </c>
      <c r="D9">
        <v>17</v>
      </c>
    </row>
    <row r="10" spans="1:4" x14ac:dyDescent="0.45">
      <c r="C10" t="s">
        <v>251</v>
      </c>
      <c r="D10">
        <v>17</v>
      </c>
    </row>
    <row r="11" spans="1:4" x14ac:dyDescent="0.45">
      <c r="C11" t="s">
        <v>36</v>
      </c>
      <c r="D11">
        <v>17</v>
      </c>
    </row>
    <row r="12" spans="1:4" x14ac:dyDescent="0.45">
      <c r="B12" t="s">
        <v>77</v>
      </c>
      <c r="C12" t="s">
        <v>252</v>
      </c>
      <c r="D12">
        <v>18</v>
      </c>
    </row>
    <row r="13" spans="1:4" x14ac:dyDescent="0.45">
      <c r="C13" t="s">
        <v>229</v>
      </c>
      <c r="D13">
        <v>18</v>
      </c>
    </row>
    <row r="14" spans="1:4" x14ac:dyDescent="0.45">
      <c r="C14" t="s">
        <v>237</v>
      </c>
      <c r="D14">
        <v>18</v>
      </c>
    </row>
    <row r="15" spans="1:4" x14ac:dyDescent="0.45">
      <c r="C15" t="s">
        <v>57</v>
      </c>
      <c r="D15">
        <v>18</v>
      </c>
    </row>
    <row r="16" spans="1:4" x14ac:dyDescent="0.45">
      <c r="C16" t="s">
        <v>230</v>
      </c>
      <c r="D16">
        <v>18</v>
      </c>
    </row>
    <row r="17" spans="2:4" x14ac:dyDescent="0.45">
      <c r="B17" t="s">
        <v>231</v>
      </c>
      <c r="C17" t="s">
        <v>253</v>
      </c>
      <c r="D17">
        <v>19</v>
      </c>
    </row>
    <row r="18" spans="2:4" x14ac:dyDescent="0.45">
      <c r="C18" t="s">
        <v>78</v>
      </c>
      <c r="D18">
        <v>19</v>
      </c>
    </row>
    <row r="19" spans="2:4" x14ac:dyDescent="0.45">
      <c r="C19" t="s">
        <v>79</v>
      </c>
      <c r="D19">
        <v>19</v>
      </c>
    </row>
    <row r="20" spans="2:4" x14ac:dyDescent="0.45">
      <c r="C20" t="s">
        <v>80</v>
      </c>
      <c r="D20">
        <v>19</v>
      </c>
    </row>
    <row r="21" spans="2:4" x14ac:dyDescent="0.45">
      <c r="B21" t="s">
        <v>81</v>
      </c>
      <c r="C21" t="s">
        <v>254</v>
      </c>
      <c r="D21">
        <v>20</v>
      </c>
    </row>
    <row r="22" spans="2:4" x14ac:dyDescent="0.45">
      <c r="C22" t="s">
        <v>226</v>
      </c>
      <c r="D22">
        <v>20</v>
      </c>
    </row>
    <row r="23" spans="2:4" x14ac:dyDescent="0.45">
      <c r="C23" t="s">
        <v>227</v>
      </c>
      <c r="D23">
        <v>20</v>
      </c>
    </row>
    <row r="24" spans="2:4" x14ac:dyDescent="0.45">
      <c r="C24" t="s">
        <v>228</v>
      </c>
      <c r="D24">
        <v>20</v>
      </c>
    </row>
    <row r="25" spans="2:4" x14ac:dyDescent="0.45">
      <c r="B25" t="s">
        <v>33</v>
      </c>
      <c r="C25" t="s">
        <v>255</v>
      </c>
      <c r="D25">
        <v>21</v>
      </c>
    </row>
    <row r="26" spans="2:4" x14ac:dyDescent="0.45">
      <c r="C26" t="s">
        <v>88</v>
      </c>
      <c r="D26">
        <v>21</v>
      </c>
    </row>
    <row r="27" spans="2:4" x14ac:dyDescent="0.45">
      <c r="C27" t="s">
        <v>89</v>
      </c>
      <c r="D27">
        <v>21</v>
      </c>
    </row>
    <row r="28" spans="2:4" x14ac:dyDescent="0.45">
      <c r="C28" t="s">
        <v>90</v>
      </c>
      <c r="D28">
        <v>21</v>
      </c>
    </row>
    <row r="29" spans="2:4" x14ac:dyDescent="0.45">
      <c r="B29" t="s">
        <v>34</v>
      </c>
      <c r="C29" t="s">
        <v>256</v>
      </c>
      <c r="D29">
        <v>22</v>
      </c>
    </row>
    <row r="30" spans="2:4" x14ac:dyDescent="0.45">
      <c r="C30" t="s">
        <v>91</v>
      </c>
      <c r="D30">
        <v>22</v>
      </c>
    </row>
    <row r="31" spans="2:4" x14ac:dyDescent="0.45">
      <c r="C31" t="s">
        <v>92</v>
      </c>
      <c r="D31">
        <v>22</v>
      </c>
    </row>
    <row r="32" spans="2:4" x14ac:dyDescent="0.45">
      <c r="C32" t="s">
        <v>93</v>
      </c>
      <c r="D32">
        <v>22</v>
      </c>
    </row>
    <row r="33" spans="2:4" x14ac:dyDescent="0.45">
      <c r="B33" t="s">
        <v>35</v>
      </c>
      <c r="C33" t="s">
        <v>257</v>
      </c>
      <c r="D33">
        <v>23</v>
      </c>
    </row>
    <row r="34" spans="2:4" x14ac:dyDescent="0.45">
      <c r="C34" t="s">
        <v>95</v>
      </c>
      <c r="D34">
        <v>23</v>
      </c>
    </row>
    <row r="35" spans="2:4" x14ac:dyDescent="0.45">
      <c r="C35" t="s">
        <v>96</v>
      </c>
      <c r="D35">
        <v>23</v>
      </c>
    </row>
    <row r="36" spans="2:4" x14ac:dyDescent="0.45">
      <c r="C36" t="s">
        <v>97</v>
      </c>
      <c r="D36">
        <v>23</v>
      </c>
    </row>
    <row r="37" spans="2:4" x14ac:dyDescent="0.45">
      <c r="B37" t="s">
        <v>24</v>
      </c>
      <c r="C37" t="s">
        <v>258</v>
      </c>
      <c r="D37">
        <v>24</v>
      </c>
    </row>
    <row r="38" spans="2:4" x14ac:dyDescent="0.45">
      <c r="C38" t="s">
        <v>98</v>
      </c>
      <c r="D38">
        <v>24</v>
      </c>
    </row>
    <row r="39" spans="2:4" x14ac:dyDescent="0.45">
      <c r="C39" t="s">
        <v>99</v>
      </c>
      <c r="D39">
        <v>24</v>
      </c>
    </row>
    <row r="40" spans="2:4" x14ac:dyDescent="0.45">
      <c r="C40" t="s">
        <v>100</v>
      </c>
      <c r="D40">
        <v>24</v>
      </c>
    </row>
    <row r="41" spans="2:4" x14ac:dyDescent="0.45">
      <c r="B41" t="s">
        <v>94</v>
      </c>
      <c r="C41" t="s">
        <v>259</v>
      </c>
      <c r="D41">
        <v>25</v>
      </c>
    </row>
    <row r="42" spans="2:4" x14ac:dyDescent="0.45">
      <c r="C42" t="s">
        <v>101</v>
      </c>
      <c r="D42">
        <v>25</v>
      </c>
    </row>
    <row r="43" spans="2:4" x14ac:dyDescent="0.45">
      <c r="C43" t="s">
        <v>102</v>
      </c>
      <c r="D43">
        <v>25</v>
      </c>
    </row>
    <row r="44" spans="2:4" x14ac:dyDescent="0.45">
      <c r="C44" t="s">
        <v>103</v>
      </c>
      <c r="D44">
        <v>25</v>
      </c>
    </row>
    <row r="45" spans="2:4" x14ac:dyDescent="0.45">
      <c r="B45" t="s">
        <v>104</v>
      </c>
      <c r="C45" t="s">
        <v>260</v>
      </c>
      <c r="D45">
        <v>26</v>
      </c>
    </row>
    <row r="46" spans="2:4" x14ac:dyDescent="0.45">
      <c r="C46" t="s">
        <v>105</v>
      </c>
      <c r="D46">
        <v>26</v>
      </c>
    </row>
    <row r="47" spans="2:4" x14ac:dyDescent="0.45">
      <c r="C47" t="s">
        <v>106</v>
      </c>
      <c r="D47">
        <v>26</v>
      </c>
    </row>
    <row r="48" spans="2:4" x14ac:dyDescent="0.45">
      <c r="C48" t="s">
        <v>107</v>
      </c>
      <c r="D48">
        <v>26</v>
      </c>
    </row>
    <row r="49" spans="2:4" x14ac:dyDescent="0.45">
      <c r="B49" t="s">
        <v>232</v>
      </c>
      <c r="C49" t="s">
        <v>261</v>
      </c>
      <c r="D49">
        <v>27</v>
      </c>
    </row>
    <row r="50" spans="2:4" x14ac:dyDescent="0.45">
      <c r="C50" t="s">
        <v>108</v>
      </c>
      <c r="D50">
        <v>27</v>
      </c>
    </row>
    <row r="51" spans="2:4" x14ac:dyDescent="0.45">
      <c r="C51" t="s">
        <v>109</v>
      </c>
      <c r="D51">
        <v>27</v>
      </c>
    </row>
    <row r="52" spans="2:4" x14ac:dyDescent="0.45">
      <c r="C52" t="s">
        <v>110</v>
      </c>
      <c r="D52">
        <v>27</v>
      </c>
    </row>
    <row r="53" spans="2:4" x14ac:dyDescent="0.45">
      <c r="C53" t="s">
        <v>111</v>
      </c>
      <c r="D53">
        <v>27</v>
      </c>
    </row>
    <row r="54" spans="2:4" x14ac:dyDescent="0.45">
      <c r="C54" t="s">
        <v>112</v>
      </c>
      <c r="D54">
        <v>27</v>
      </c>
    </row>
    <row r="55" spans="2:4" x14ac:dyDescent="0.45">
      <c r="C55" t="s">
        <v>113</v>
      </c>
      <c r="D55">
        <v>27</v>
      </c>
    </row>
    <row r="56" spans="2:4" x14ac:dyDescent="0.45">
      <c r="C56" t="s">
        <v>114</v>
      </c>
      <c r="D56">
        <v>27</v>
      </c>
    </row>
    <row r="57" spans="2:4" x14ac:dyDescent="0.45">
      <c r="C57" t="s">
        <v>115</v>
      </c>
      <c r="D57">
        <v>27</v>
      </c>
    </row>
    <row r="58" spans="2:4" x14ac:dyDescent="0.45">
      <c r="C58" t="s">
        <v>116</v>
      </c>
      <c r="D58">
        <v>27</v>
      </c>
    </row>
    <row r="59" spans="2:4" x14ac:dyDescent="0.45">
      <c r="C59" t="s">
        <v>117</v>
      </c>
      <c r="D59">
        <v>27</v>
      </c>
    </row>
    <row r="60" spans="2:4" x14ac:dyDescent="0.45">
      <c r="C60" t="s">
        <v>118</v>
      </c>
      <c r="D60">
        <v>27</v>
      </c>
    </row>
    <row r="61" spans="2:4" x14ac:dyDescent="0.45">
      <c r="C61" t="s">
        <v>119</v>
      </c>
      <c r="D61">
        <v>27</v>
      </c>
    </row>
    <row r="62" spans="2:4" x14ac:dyDescent="0.45">
      <c r="B62" t="s">
        <v>32</v>
      </c>
      <c r="C62" t="s">
        <v>262</v>
      </c>
      <c r="D62">
        <v>28</v>
      </c>
    </row>
    <row r="63" spans="2:4" x14ac:dyDescent="0.45">
      <c r="C63" t="s">
        <v>120</v>
      </c>
      <c r="D63">
        <v>28</v>
      </c>
    </row>
    <row r="64" spans="2:4" x14ac:dyDescent="0.45">
      <c r="C64" t="s">
        <v>121</v>
      </c>
      <c r="D64">
        <v>28</v>
      </c>
    </row>
    <row r="65" spans="2:4" x14ac:dyDescent="0.45">
      <c r="C65" t="s">
        <v>122</v>
      </c>
      <c r="D65">
        <v>28</v>
      </c>
    </row>
    <row r="66" spans="2:4" x14ac:dyDescent="0.45">
      <c r="B66" t="s">
        <v>233</v>
      </c>
      <c r="C66" t="s">
        <v>263</v>
      </c>
      <c r="D66">
        <v>29</v>
      </c>
    </row>
    <row r="67" spans="2:4" x14ac:dyDescent="0.45">
      <c r="C67" t="s">
        <v>123</v>
      </c>
      <c r="D67">
        <v>29</v>
      </c>
    </row>
    <row r="68" spans="2:4" x14ac:dyDescent="0.45">
      <c r="C68" t="s">
        <v>124</v>
      </c>
      <c r="D68">
        <v>29</v>
      </c>
    </row>
    <row r="69" spans="2:4" x14ac:dyDescent="0.45">
      <c r="C69" t="s">
        <v>125</v>
      </c>
      <c r="D69">
        <v>29</v>
      </c>
    </row>
    <row r="70" spans="2:4" x14ac:dyDescent="0.45">
      <c r="C70" t="s">
        <v>126</v>
      </c>
      <c r="D70">
        <v>29</v>
      </c>
    </row>
    <row r="71" spans="2:4" x14ac:dyDescent="0.45">
      <c r="C71" t="s">
        <v>127</v>
      </c>
      <c r="D71">
        <v>29</v>
      </c>
    </row>
    <row r="72" spans="2:4" x14ac:dyDescent="0.45">
      <c r="B72" t="s">
        <v>234</v>
      </c>
      <c r="C72" t="s">
        <v>264</v>
      </c>
      <c r="D72">
        <v>30</v>
      </c>
    </row>
    <row r="73" spans="2:4" x14ac:dyDescent="0.45">
      <c r="C73" t="s">
        <v>83</v>
      </c>
      <c r="D73">
        <v>30</v>
      </c>
    </row>
    <row r="74" spans="2:4" x14ac:dyDescent="0.45">
      <c r="C74" t="s">
        <v>84</v>
      </c>
      <c r="D74">
        <v>30</v>
      </c>
    </row>
    <row r="75" spans="2:4" x14ac:dyDescent="0.45">
      <c r="C75" t="s">
        <v>85</v>
      </c>
      <c r="D75">
        <v>30</v>
      </c>
    </row>
    <row r="76" spans="2:4" x14ac:dyDescent="0.45">
      <c r="C76" t="s">
        <v>86</v>
      </c>
      <c r="D76">
        <v>30</v>
      </c>
    </row>
    <row r="77" spans="2:4" x14ac:dyDescent="0.45">
      <c r="B77" t="s">
        <v>37</v>
      </c>
      <c r="C77" t="s">
        <v>265</v>
      </c>
      <c r="D77">
        <v>31</v>
      </c>
    </row>
    <row r="78" spans="2:4" x14ac:dyDescent="0.45">
      <c r="C78" t="s">
        <v>128</v>
      </c>
      <c r="D78">
        <v>31</v>
      </c>
    </row>
    <row r="79" spans="2:4" x14ac:dyDescent="0.45">
      <c r="C79" t="s">
        <v>129</v>
      </c>
      <c r="D79">
        <v>31</v>
      </c>
    </row>
    <row r="80" spans="2:4" x14ac:dyDescent="0.45">
      <c r="C80" t="s">
        <v>130</v>
      </c>
      <c r="D80">
        <v>31</v>
      </c>
    </row>
    <row r="81" spans="1:4" x14ac:dyDescent="0.45">
      <c r="B81" t="s">
        <v>38</v>
      </c>
      <c r="C81" t="s">
        <v>266</v>
      </c>
      <c r="D81">
        <v>32</v>
      </c>
    </row>
    <row r="82" spans="1:4" x14ac:dyDescent="0.45">
      <c r="C82" t="s">
        <v>131</v>
      </c>
      <c r="D82">
        <v>32</v>
      </c>
    </row>
    <row r="83" spans="1:4" x14ac:dyDescent="0.45">
      <c r="C83" t="s">
        <v>132</v>
      </c>
      <c r="D83">
        <v>32</v>
      </c>
    </row>
    <row r="84" spans="1:4" x14ac:dyDescent="0.45">
      <c r="C84" t="s">
        <v>133</v>
      </c>
      <c r="D84">
        <v>32</v>
      </c>
    </row>
    <row r="85" spans="1:4" x14ac:dyDescent="0.45">
      <c r="B85" t="s">
        <v>39</v>
      </c>
      <c r="C85" t="s">
        <v>267</v>
      </c>
      <c r="D85">
        <v>33</v>
      </c>
    </row>
    <row r="86" spans="1:4" x14ac:dyDescent="0.45">
      <c r="C86" t="s">
        <v>134</v>
      </c>
      <c r="D86">
        <v>33</v>
      </c>
    </row>
    <row r="87" spans="1:4" x14ac:dyDescent="0.45">
      <c r="C87" t="s">
        <v>135</v>
      </c>
      <c r="D87">
        <v>33</v>
      </c>
    </row>
    <row r="88" spans="1:4" x14ac:dyDescent="0.45">
      <c r="C88" t="s">
        <v>136</v>
      </c>
      <c r="D88">
        <v>33</v>
      </c>
    </row>
    <row r="89" spans="1:4" x14ac:dyDescent="0.45">
      <c r="A89" t="s">
        <v>25</v>
      </c>
      <c r="B89" t="s">
        <v>25</v>
      </c>
      <c r="C89" t="s">
        <v>268</v>
      </c>
      <c r="D89">
        <v>34</v>
      </c>
    </row>
    <row r="90" spans="1:4" x14ac:dyDescent="0.45">
      <c r="B90" t="s">
        <v>21</v>
      </c>
      <c r="C90" t="s">
        <v>269</v>
      </c>
      <c r="D90">
        <v>35</v>
      </c>
    </row>
    <row r="91" spans="1:4" x14ac:dyDescent="0.45">
      <c r="C91" t="s">
        <v>137</v>
      </c>
      <c r="D91">
        <v>35</v>
      </c>
    </row>
    <row r="92" spans="1:4" x14ac:dyDescent="0.45">
      <c r="C92" t="s">
        <v>87</v>
      </c>
      <c r="D92">
        <v>35</v>
      </c>
    </row>
    <row r="93" spans="1:4" x14ac:dyDescent="0.45">
      <c r="C93" t="s">
        <v>138</v>
      </c>
      <c r="D93">
        <v>35</v>
      </c>
    </row>
    <row r="94" spans="1:4" x14ac:dyDescent="0.45">
      <c r="B94" t="s">
        <v>26</v>
      </c>
      <c r="C94" t="s">
        <v>270</v>
      </c>
      <c r="D94">
        <v>36</v>
      </c>
    </row>
    <row r="95" spans="1:4" x14ac:dyDescent="0.45">
      <c r="C95" t="s">
        <v>139</v>
      </c>
      <c r="D95">
        <v>36</v>
      </c>
    </row>
    <row r="96" spans="1:4" x14ac:dyDescent="0.45">
      <c r="C96" t="s">
        <v>140</v>
      </c>
      <c r="D96">
        <v>36</v>
      </c>
    </row>
    <row r="97" spans="2:4" x14ac:dyDescent="0.45">
      <c r="C97" t="s">
        <v>141</v>
      </c>
      <c r="D97">
        <v>36</v>
      </c>
    </row>
    <row r="98" spans="2:4" x14ac:dyDescent="0.45">
      <c r="B98" t="s">
        <v>82</v>
      </c>
      <c r="C98" t="s">
        <v>271</v>
      </c>
      <c r="D98">
        <v>37</v>
      </c>
    </row>
    <row r="99" spans="2:4" x14ac:dyDescent="0.45">
      <c r="C99" t="s">
        <v>142</v>
      </c>
      <c r="D99">
        <v>37</v>
      </c>
    </row>
    <row r="100" spans="2:4" x14ac:dyDescent="0.45">
      <c r="C100" t="s">
        <v>143</v>
      </c>
      <c r="D100">
        <v>37</v>
      </c>
    </row>
    <row r="101" spans="2:4" x14ac:dyDescent="0.45">
      <c r="C101" t="s">
        <v>144</v>
      </c>
      <c r="D101">
        <v>37</v>
      </c>
    </row>
    <row r="102" spans="2:4" x14ac:dyDescent="0.45">
      <c r="B102" t="s">
        <v>27</v>
      </c>
      <c r="C102" t="s">
        <v>272</v>
      </c>
      <c r="D102">
        <v>38</v>
      </c>
    </row>
    <row r="103" spans="2:4" x14ac:dyDescent="0.45">
      <c r="C103" t="s">
        <v>145</v>
      </c>
      <c r="D103">
        <v>38</v>
      </c>
    </row>
    <row r="104" spans="2:4" x14ac:dyDescent="0.45">
      <c r="C104" t="s">
        <v>146</v>
      </c>
      <c r="D104">
        <v>38</v>
      </c>
    </row>
    <row r="105" spans="2:4" x14ac:dyDescent="0.45">
      <c r="C105" t="s">
        <v>147</v>
      </c>
      <c r="D105">
        <v>38</v>
      </c>
    </row>
    <row r="106" spans="2:4" x14ac:dyDescent="0.45">
      <c r="B106" t="s">
        <v>28</v>
      </c>
      <c r="C106" t="s">
        <v>273</v>
      </c>
      <c r="D106">
        <v>39</v>
      </c>
    </row>
    <row r="107" spans="2:4" x14ac:dyDescent="0.45">
      <c r="C107" t="s">
        <v>148</v>
      </c>
      <c r="D107">
        <v>39</v>
      </c>
    </row>
    <row r="108" spans="2:4" x14ac:dyDescent="0.45">
      <c r="C108" t="s">
        <v>149</v>
      </c>
      <c r="D108">
        <v>39</v>
      </c>
    </row>
    <row r="109" spans="2:4" x14ac:dyDescent="0.45">
      <c r="C109" t="s">
        <v>150</v>
      </c>
      <c r="D109">
        <v>39</v>
      </c>
    </row>
    <row r="110" spans="2:4" x14ac:dyDescent="0.45">
      <c r="B110" t="s">
        <v>22</v>
      </c>
      <c r="C110" t="s">
        <v>274</v>
      </c>
      <c r="D110">
        <v>40</v>
      </c>
    </row>
    <row r="111" spans="2:4" x14ac:dyDescent="0.45">
      <c r="C111" t="s">
        <v>151</v>
      </c>
      <c r="D111">
        <v>40</v>
      </c>
    </row>
    <row r="112" spans="2:4" x14ac:dyDescent="0.45">
      <c r="C112" t="s">
        <v>152</v>
      </c>
      <c r="D112">
        <v>40</v>
      </c>
    </row>
    <row r="113" spans="2:4" x14ac:dyDescent="0.45">
      <c r="C113" t="s">
        <v>153</v>
      </c>
      <c r="D113">
        <v>40</v>
      </c>
    </row>
    <row r="114" spans="2:4" x14ac:dyDescent="0.45">
      <c r="B114" t="s">
        <v>23</v>
      </c>
      <c r="C114" t="s">
        <v>275</v>
      </c>
      <c r="D114">
        <v>41</v>
      </c>
    </row>
    <row r="115" spans="2:4" x14ac:dyDescent="0.45">
      <c r="C115" t="s">
        <v>154</v>
      </c>
      <c r="D115">
        <v>41</v>
      </c>
    </row>
    <row r="116" spans="2:4" x14ac:dyDescent="0.45">
      <c r="C116" t="s">
        <v>155</v>
      </c>
      <c r="D116">
        <v>41</v>
      </c>
    </row>
    <row r="117" spans="2:4" x14ac:dyDescent="0.45">
      <c r="C117" t="s">
        <v>156</v>
      </c>
      <c r="D117">
        <v>41</v>
      </c>
    </row>
    <row r="118" spans="2:4" x14ac:dyDescent="0.45">
      <c r="B118" t="s">
        <v>29</v>
      </c>
      <c r="C118" t="s">
        <v>276</v>
      </c>
      <c r="D118">
        <v>42</v>
      </c>
    </row>
    <row r="119" spans="2:4" x14ac:dyDescent="0.45">
      <c r="C119" t="s">
        <v>157</v>
      </c>
      <c r="D119">
        <v>42</v>
      </c>
    </row>
    <row r="120" spans="2:4" x14ac:dyDescent="0.45">
      <c r="C120" t="s">
        <v>158</v>
      </c>
      <c r="D120">
        <v>42</v>
      </c>
    </row>
    <row r="121" spans="2:4" x14ac:dyDescent="0.45">
      <c r="C121" t="s">
        <v>159</v>
      </c>
      <c r="D121">
        <v>42</v>
      </c>
    </row>
    <row r="122" spans="2:4" x14ac:dyDescent="0.45">
      <c r="B122" t="s">
        <v>30</v>
      </c>
      <c r="C122" t="s">
        <v>277</v>
      </c>
      <c r="D122">
        <v>43</v>
      </c>
    </row>
    <row r="123" spans="2:4" x14ac:dyDescent="0.45">
      <c r="C123" t="s">
        <v>160</v>
      </c>
      <c r="D123">
        <v>43</v>
      </c>
    </row>
    <row r="124" spans="2:4" x14ac:dyDescent="0.45">
      <c r="C124" t="s">
        <v>161</v>
      </c>
      <c r="D124">
        <v>43</v>
      </c>
    </row>
    <row r="125" spans="2:4" x14ac:dyDescent="0.45">
      <c r="C125" t="s">
        <v>162</v>
      </c>
      <c r="D125">
        <v>43</v>
      </c>
    </row>
    <row r="126" spans="2:4" x14ac:dyDescent="0.45">
      <c r="B126" s="1" t="s">
        <v>236</v>
      </c>
      <c r="C126" t="s">
        <v>278</v>
      </c>
    </row>
    <row r="127" spans="2:4" x14ac:dyDescent="0.45">
      <c r="C127" t="s">
        <v>163</v>
      </c>
    </row>
    <row r="128" spans="2:4" x14ac:dyDescent="0.45">
      <c r="C128" t="s">
        <v>164</v>
      </c>
    </row>
    <row r="129" spans="1:4" x14ac:dyDescent="0.45">
      <c r="C129" t="s">
        <v>165</v>
      </c>
    </row>
    <row r="130" spans="1:4" x14ac:dyDescent="0.45">
      <c r="B130" t="s">
        <v>235</v>
      </c>
      <c r="C130" t="s">
        <v>279</v>
      </c>
      <c r="D130">
        <v>44</v>
      </c>
    </row>
    <row r="131" spans="1:4" x14ac:dyDescent="0.45">
      <c r="C131" t="s">
        <v>166</v>
      </c>
      <c r="D131">
        <v>44</v>
      </c>
    </row>
    <row r="132" spans="1:4" x14ac:dyDescent="0.45">
      <c r="C132" t="s">
        <v>167</v>
      </c>
      <c r="D132">
        <v>44</v>
      </c>
    </row>
    <row r="133" spans="1:4" x14ac:dyDescent="0.45">
      <c r="C133" t="s">
        <v>168</v>
      </c>
      <c r="D133">
        <v>44</v>
      </c>
    </row>
    <row r="134" spans="1:4" x14ac:dyDescent="0.45">
      <c r="C134" t="s">
        <v>302</v>
      </c>
      <c r="D134">
        <v>44</v>
      </c>
    </row>
    <row r="135" spans="1:4" x14ac:dyDescent="0.45">
      <c r="C135" t="s">
        <v>169</v>
      </c>
      <c r="D135">
        <v>44</v>
      </c>
    </row>
    <row r="136" spans="1:4" x14ac:dyDescent="0.45">
      <c r="C136" t="s">
        <v>170</v>
      </c>
      <c r="D136">
        <v>44</v>
      </c>
    </row>
    <row r="137" spans="1:4" x14ac:dyDescent="0.45">
      <c r="C137" t="s">
        <v>171</v>
      </c>
      <c r="D137">
        <v>44</v>
      </c>
    </row>
    <row r="138" spans="1:4" x14ac:dyDescent="0.45">
      <c r="A138" t="s">
        <v>58</v>
      </c>
      <c r="B138" t="s">
        <v>58</v>
      </c>
      <c r="C138" t="s">
        <v>280</v>
      </c>
      <c r="D138">
        <v>45</v>
      </c>
    </row>
    <row r="139" spans="1:4" x14ac:dyDescent="0.45">
      <c r="B139" s="1" t="s">
        <v>40</v>
      </c>
      <c r="C139" t="s">
        <v>281</v>
      </c>
    </row>
    <row r="140" spans="1:4" x14ac:dyDescent="0.45">
      <c r="C140" t="s">
        <v>202</v>
      </c>
    </row>
    <row r="141" spans="1:4" x14ac:dyDescent="0.45">
      <c r="C141" t="s">
        <v>203</v>
      </c>
    </row>
    <row r="142" spans="1:4" x14ac:dyDescent="0.45">
      <c r="C142" t="s">
        <v>204</v>
      </c>
    </row>
    <row r="143" spans="1:4" x14ac:dyDescent="0.45">
      <c r="B143" s="1" t="s">
        <v>6</v>
      </c>
      <c r="C143" t="s">
        <v>282</v>
      </c>
    </row>
    <row r="144" spans="1:4" x14ac:dyDescent="0.45">
      <c r="C144" t="s">
        <v>199</v>
      </c>
    </row>
    <row r="145" spans="2:3" x14ac:dyDescent="0.45">
      <c r="C145" t="s">
        <v>200</v>
      </c>
    </row>
    <row r="146" spans="2:3" x14ac:dyDescent="0.45">
      <c r="C146" t="s">
        <v>201</v>
      </c>
    </row>
    <row r="147" spans="2:3" x14ac:dyDescent="0.45">
      <c r="B147" s="1" t="s">
        <v>7</v>
      </c>
      <c r="C147" t="s">
        <v>283</v>
      </c>
    </row>
    <row r="148" spans="2:3" x14ac:dyDescent="0.45">
      <c r="C148" t="s">
        <v>196</v>
      </c>
    </row>
    <row r="149" spans="2:3" x14ac:dyDescent="0.45">
      <c r="C149" t="s">
        <v>197</v>
      </c>
    </row>
    <row r="150" spans="2:3" x14ac:dyDescent="0.45">
      <c r="C150" t="s">
        <v>198</v>
      </c>
    </row>
    <row r="151" spans="2:3" x14ac:dyDescent="0.45">
      <c r="B151" s="1" t="s">
        <v>8</v>
      </c>
      <c r="C151" t="s">
        <v>284</v>
      </c>
    </row>
    <row r="152" spans="2:3" x14ac:dyDescent="0.45">
      <c r="C152" t="s">
        <v>193</v>
      </c>
    </row>
    <row r="153" spans="2:3" x14ac:dyDescent="0.45">
      <c r="C153" t="s">
        <v>194</v>
      </c>
    </row>
    <row r="154" spans="2:3" x14ac:dyDescent="0.45">
      <c r="C154" t="s">
        <v>195</v>
      </c>
    </row>
    <row r="155" spans="2:3" x14ac:dyDescent="0.45">
      <c r="B155" s="1" t="s">
        <v>3</v>
      </c>
      <c r="C155" t="s">
        <v>285</v>
      </c>
    </row>
    <row r="156" spans="2:3" x14ac:dyDescent="0.45">
      <c r="C156" t="s">
        <v>190</v>
      </c>
    </row>
    <row r="157" spans="2:3" x14ac:dyDescent="0.45">
      <c r="C157" t="s">
        <v>191</v>
      </c>
    </row>
    <row r="158" spans="2:3" x14ac:dyDescent="0.45">
      <c r="C158" t="s">
        <v>192</v>
      </c>
    </row>
    <row r="159" spans="2:3" x14ac:dyDescent="0.45">
      <c r="B159" s="1" t="s">
        <v>4</v>
      </c>
      <c r="C159" t="s">
        <v>286</v>
      </c>
    </row>
    <row r="160" spans="2:3" x14ac:dyDescent="0.45">
      <c r="C160" t="s">
        <v>187</v>
      </c>
    </row>
    <row r="161" spans="2:4" x14ac:dyDescent="0.45">
      <c r="C161" t="s">
        <v>188</v>
      </c>
    </row>
    <row r="162" spans="2:4" x14ac:dyDescent="0.45">
      <c r="C162" t="s">
        <v>189</v>
      </c>
    </row>
    <row r="163" spans="2:4" x14ac:dyDescent="0.45">
      <c r="B163" t="s">
        <v>41</v>
      </c>
      <c r="C163" t="s">
        <v>287</v>
      </c>
      <c r="D163">
        <v>46</v>
      </c>
    </row>
    <row r="164" spans="2:4" x14ac:dyDescent="0.45">
      <c r="C164" t="s">
        <v>184</v>
      </c>
      <c r="D164">
        <v>46</v>
      </c>
    </row>
    <row r="165" spans="2:4" x14ac:dyDescent="0.45">
      <c r="C165" t="s">
        <v>185</v>
      </c>
      <c r="D165">
        <v>46</v>
      </c>
    </row>
    <row r="166" spans="2:4" x14ac:dyDescent="0.45">
      <c r="C166" t="s">
        <v>186</v>
      </c>
      <c r="D166">
        <v>46</v>
      </c>
    </row>
    <row r="167" spans="2:4" x14ac:dyDescent="0.45">
      <c r="B167" t="s">
        <v>42</v>
      </c>
      <c r="C167" t="s">
        <v>288</v>
      </c>
      <c r="D167">
        <v>47</v>
      </c>
    </row>
    <row r="168" spans="2:4" x14ac:dyDescent="0.45">
      <c r="C168" t="s">
        <v>181</v>
      </c>
      <c r="D168">
        <v>47</v>
      </c>
    </row>
    <row r="169" spans="2:4" x14ac:dyDescent="0.45">
      <c r="C169" t="s">
        <v>182</v>
      </c>
      <c r="D169">
        <v>47</v>
      </c>
    </row>
    <row r="170" spans="2:4" x14ac:dyDescent="0.45">
      <c r="C170" t="s">
        <v>183</v>
      </c>
      <c r="D170">
        <v>47</v>
      </c>
    </row>
    <row r="171" spans="2:4" x14ac:dyDescent="0.45">
      <c r="B171" t="s">
        <v>76</v>
      </c>
      <c r="C171" t="s">
        <v>289</v>
      </c>
      <c r="D171">
        <v>48</v>
      </c>
    </row>
    <row r="172" spans="2:4" x14ac:dyDescent="0.45">
      <c r="C172" t="s">
        <v>178</v>
      </c>
      <c r="D172">
        <v>48</v>
      </c>
    </row>
    <row r="173" spans="2:4" x14ac:dyDescent="0.45">
      <c r="C173" t="s">
        <v>179</v>
      </c>
      <c r="D173">
        <v>48</v>
      </c>
    </row>
    <row r="174" spans="2:4" x14ac:dyDescent="0.45">
      <c r="C174" t="s">
        <v>180</v>
      </c>
      <c r="D174">
        <v>48</v>
      </c>
    </row>
    <row r="175" spans="2:4" x14ac:dyDescent="0.45">
      <c r="B175" t="s">
        <v>43</v>
      </c>
      <c r="C175" t="s">
        <v>290</v>
      </c>
      <c r="D175">
        <v>49</v>
      </c>
    </row>
    <row r="176" spans="2:4" x14ac:dyDescent="0.45">
      <c r="C176" t="s">
        <v>175</v>
      </c>
      <c r="D176">
        <v>49</v>
      </c>
    </row>
    <row r="177" spans="1:4" x14ac:dyDescent="0.45">
      <c r="C177" t="s">
        <v>176</v>
      </c>
      <c r="D177">
        <v>49</v>
      </c>
    </row>
    <row r="178" spans="1:4" x14ac:dyDescent="0.45">
      <c r="C178" t="s">
        <v>177</v>
      </c>
      <c r="D178">
        <v>49</v>
      </c>
    </row>
    <row r="179" spans="1:4" x14ac:dyDescent="0.45">
      <c r="B179" t="s">
        <v>44</v>
      </c>
      <c r="C179" t="s">
        <v>291</v>
      </c>
      <c r="D179">
        <v>50</v>
      </c>
    </row>
    <row r="180" spans="1:4" x14ac:dyDescent="0.45">
      <c r="C180" t="s">
        <v>172</v>
      </c>
      <c r="D180">
        <v>50</v>
      </c>
    </row>
    <row r="181" spans="1:4" x14ac:dyDescent="0.45">
      <c r="C181" t="s">
        <v>173</v>
      </c>
      <c r="D181">
        <v>50</v>
      </c>
    </row>
    <row r="182" spans="1:4" x14ac:dyDescent="0.45">
      <c r="C182" t="s">
        <v>174</v>
      </c>
      <c r="D182">
        <v>50</v>
      </c>
    </row>
    <row r="183" spans="1:4" x14ac:dyDescent="0.45">
      <c r="A183" t="s">
        <v>45</v>
      </c>
      <c r="B183" t="s">
        <v>45</v>
      </c>
      <c r="C183" t="s">
        <v>292</v>
      </c>
      <c r="D183">
        <v>51</v>
      </c>
    </row>
    <row r="184" spans="1:4" x14ac:dyDescent="0.45">
      <c r="C184" t="s">
        <v>247</v>
      </c>
      <c r="D184">
        <v>51</v>
      </c>
    </row>
    <row r="185" spans="1:4" x14ac:dyDescent="0.45">
      <c r="C185" t="s">
        <v>71</v>
      </c>
      <c r="D185">
        <v>51</v>
      </c>
    </row>
    <row r="186" spans="1:4" x14ac:dyDescent="0.45">
      <c r="C186" t="s">
        <v>72</v>
      </c>
      <c r="D186">
        <v>51</v>
      </c>
    </row>
    <row r="187" spans="1:4" x14ac:dyDescent="0.45">
      <c r="C187" t="s">
        <v>73</v>
      </c>
      <c r="D187">
        <v>51</v>
      </c>
    </row>
    <row r="188" spans="1:4" x14ac:dyDescent="0.45">
      <c r="C188" t="s">
        <v>74</v>
      </c>
      <c r="D188">
        <v>51</v>
      </c>
    </row>
    <row r="189" spans="1:4" x14ac:dyDescent="0.45">
      <c r="C189" t="s">
        <v>75</v>
      </c>
      <c r="D189">
        <v>51</v>
      </c>
    </row>
    <row r="190" spans="1:4" x14ac:dyDescent="0.45">
      <c r="C190" t="s">
        <v>238</v>
      </c>
      <c r="D190">
        <v>51</v>
      </c>
    </row>
    <row r="191" spans="1:4" x14ac:dyDescent="0.45">
      <c r="A191" t="s">
        <v>46</v>
      </c>
      <c r="B191" t="s">
        <v>46</v>
      </c>
      <c r="C191" t="s">
        <v>293</v>
      </c>
      <c r="D191">
        <v>52</v>
      </c>
    </row>
    <row r="192" spans="1:4" x14ac:dyDescent="0.45">
      <c r="C192" t="s">
        <v>68</v>
      </c>
      <c r="D192">
        <v>52</v>
      </c>
    </row>
    <row r="193" spans="1:4" x14ac:dyDescent="0.45">
      <c r="C193" t="s">
        <v>47</v>
      </c>
      <c r="D193">
        <v>52</v>
      </c>
    </row>
    <row r="194" spans="1:4" x14ac:dyDescent="0.45">
      <c r="C194" t="s">
        <v>69</v>
      </c>
      <c r="D194">
        <v>52</v>
      </c>
    </row>
    <row r="195" spans="1:4" x14ac:dyDescent="0.45">
      <c r="C195" t="s">
        <v>70</v>
      </c>
      <c r="D195">
        <v>52</v>
      </c>
    </row>
    <row r="196" spans="1:4" x14ac:dyDescent="0.45">
      <c r="A196" t="s">
        <v>59</v>
      </c>
      <c r="B196" t="s">
        <v>59</v>
      </c>
      <c r="C196" t="s">
        <v>294</v>
      </c>
      <c r="D196">
        <v>53</v>
      </c>
    </row>
    <row r="197" spans="1:4" x14ac:dyDescent="0.45">
      <c r="C197" t="s">
        <v>48</v>
      </c>
      <c r="D197">
        <v>53</v>
      </c>
    </row>
    <row r="198" spans="1:4" x14ac:dyDescent="0.45">
      <c r="C198" t="s">
        <v>49</v>
      </c>
      <c r="D198">
        <v>53</v>
      </c>
    </row>
    <row r="199" spans="1:4" x14ac:dyDescent="0.45">
      <c r="C199" t="s">
        <v>50</v>
      </c>
      <c r="D199">
        <v>53</v>
      </c>
    </row>
    <row r="200" spans="1:4" x14ac:dyDescent="0.45">
      <c r="C200" t="s">
        <v>63</v>
      </c>
      <c r="D200">
        <v>53</v>
      </c>
    </row>
    <row r="201" spans="1:4" x14ac:dyDescent="0.45">
      <c r="C201" t="s">
        <v>64</v>
      </c>
      <c r="D201">
        <v>53</v>
      </c>
    </row>
    <row r="202" spans="1:4" x14ac:dyDescent="0.45">
      <c r="C202" t="s">
        <v>65</v>
      </c>
      <c r="D202">
        <v>53</v>
      </c>
    </row>
    <row r="203" spans="1:4" x14ac:dyDescent="0.45">
      <c r="C203" t="s">
        <v>66</v>
      </c>
      <c r="D203">
        <v>53</v>
      </c>
    </row>
    <row r="204" spans="1:4" x14ac:dyDescent="0.45">
      <c r="C204" t="s">
        <v>67</v>
      </c>
      <c r="D204">
        <v>53</v>
      </c>
    </row>
    <row r="205" spans="1:4" x14ac:dyDescent="0.45">
      <c r="A205" t="s">
        <v>52</v>
      </c>
      <c r="B205" t="s">
        <v>52</v>
      </c>
      <c r="C205" t="s">
        <v>295</v>
      </c>
      <c r="D205">
        <v>54</v>
      </c>
    </row>
    <row r="206" spans="1:4" x14ac:dyDescent="0.45">
      <c r="C206" t="s">
        <v>53</v>
      </c>
      <c r="D206">
        <v>54</v>
      </c>
    </row>
    <row r="207" spans="1:4" x14ac:dyDescent="0.45">
      <c r="C207" t="s">
        <v>54</v>
      </c>
      <c r="D207">
        <v>54</v>
      </c>
    </row>
    <row r="208" spans="1:4" x14ac:dyDescent="0.45">
      <c r="C208" t="s">
        <v>55</v>
      </c>
      <c r="D208">
        <v>54</v>
      </c>
    </row>
    <row r="209" spans="1:4" x14ac:dyDescent="0.45">
      <c r="C209" t="s">
        <v>56</v>
      </c>
      <c r="D209">
        <v>54</v>
      </c>
    </row>
    <row r="210" spans="1:4" x14ac:dyDescent="0.45">
      <c r="C210" t="s">
        <v>239</v>
      </c>
      <c r="D210">
        <v>54</v>
      </c>
    </row>
    <row r="211" spans="1:4" x14ac:dyDescent="0.45">
      <c r="C211" t="s">
        <v>240</v>
      </c>
      <c r="D211">
        <v>54</v>
      </c>
    </row>
    <row r="212" spans="1:4" x14ac:dyDescent="0.45">
      <c r="C212" t="s">
        <v>241</v>
      </c>
      <c r="D212">
        <v>54</v>
      </c>
    </row>
    <row r="213" spans="1:4" x14ac:dyDescent="0.45">
      <c r="C213" t="s">
        <v>242</v>
      </c>
      <c r="D213">
        <v>54</v>
      </c>
    </row>
    <row r="214" spans="1:4" x14ac:dyDescent="0.45">
      <c r="C214" t="s">
        <v>243</v>
      </c>
      <c r="D214">
        <v>54</v>
      </c>
    </row>
    <row r="215" spans="1:4" x14ac:dyDescent="0.45">
      <c r="C215" t="s">
        <v>51</v>
      </c>
      <c r="D215">
        <v>54</v>
      </c>
    </row>
    <row r="216" spans="1:4" x14ac:dyDescent="0.45">
      <c r="A216" t="s">
        <v>60</v>
      </c>
      <c r="B216" s="1" t="s">
        <v>0</v>
      </c>
      <c r="C216" t="s">
        <v>296</v>
      </c>
    </row>
    <row r="217" spans="1:4" x14ac:dyDescent="0.45">
      <c r="C217" t="s">
        <v>205</v>
      </c>
    </row>
    <row r="218" spans="1:4" x14ac:dyDescent="0.45">
      <c r="C218" t="s">
        <v>206</v>
      </c>
    </row>
    <row r="219" spans="1:4" x14ac:dyDescent="0.45">
      <c r="C219" t="s">
        <v>207</v>
      </c>
    </row>
    <row r="220" spans="1:4" x14ac:dyDescent="0.45">
      <c r="B220" s="1" t="s">
        <v>31</v>
      </c>
      <c r="C220" t="s">
        <v>297</v>
      </c>
    </row>
    <row r="221" spans="1:4" x14ac:dyDescent="0.45">
      <c r="C221" t="s">
        <v>208</v>
      </c>
    </row>
    <row r="222" spans="1:4" x14ac:dyDescent="0.45">
      <c r="C222" t="s">
        <v>209</v>
      </c>
    </row>
    <row r="223" spans="1:4" x14ac:dyDescent="0.45">
      <c r="C223" t="s">
        <v>210</v>
      </c>
    </row>
    <row r="224" spans="1:4" x14ac:dyDescent="0.45">
      <c r="C224" t="s">
        <v>298</v>
      </c>
    </row>
    <row r="225" spans="3:3" x14ac:dyDescent="0.45">
      <c r="C225" t="s">
        <v>211</v>
      </c>
    </row>
    <row r="226" spans="3:3" x14ac:dyDescent="0.45">
      <c r="C226" t="s">
        <v>212</v>
      </c>
    </row>
    <row r="227" spans="3:3" x14ac:dyDescent="0.45">
      <c r="C227" t="s">
        <v>213</v>
      </c>
    </row>
    <row r="228" spans="3:3" x14ac:dyDescent="0.45">
      <c r="C228" t="s">
        <v>299</v>
      </c>
    </row>
    <row r="229" spans="3:3" x14ac:dyDescent="0.45">
      <c r="C229" t="s">
        <v>214</v>
      </c>
    </row>
    <row r="230" spans="3:3" x14ac:dyDescent="0.45">
      <c r="C230" t="s">
        <v>215</v>
      </c>
    </row>
    <row r="231" spans="3:3" x14ac:dyDescent="0.45">
      <c r="C231" t="s">
        <v>216</v>
      </c>
    </row>
    <row r="232" spans="3:3" x14ac:dyDescent="0.45">
      <c r="C232" t="s">
        <v>300</v>
      </c>
    </row>
    <row r="233" spans="3:3" x14ac:dyDescent="0.45">
      <c r="C233" t="s">
        <v>217</v>
      </c>
    </row>
    <row r="234" spans="3:3" x14ac:dyDescent="0.45">
      <c r="C234" t="s">
        <v>218</v>
      </c>
    </row>
    <row r="235" spans="3:3" x14ac:dyDescent="0.45">
      <c r="C235" t="s">
        <v>219</v>
      </c>
    </row>
    <row r="236" spans="3:3" x14ac:dyDescent="0.45">
      <c r="C236" t="s">
        <v>301</v>
      </c>
    </row>
    <row r="237" spans="3:3" x14ac:dyDescent="0.45">
      <c r="C237" t="s">
        <v>220</v>
      </c>
    </row>
    <row r="238" spans="3:3" x14ac:dyDescent="0.45">
      <c r="C238" t="s">
        <v>221</v>
      </c>
    </row>
    <row r="239" spans="3:3" x14ac:dyDescent="0.45">
      <c r="C239" t="s">
        <v>222</v>
      </c>
    </row>
    <row r="240" spans="3:3" x14ac:dyDescent="0.45">
      <c r="C240" t="s">
        <v>61</v>
      </c>
    </row>
    <row r="241" spans="3:3" x14ac:dyDescent="0.45">
      <c r="C24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13" sqref="F13"/>
    </sheetView>
  </sheetViews>
  <sheetFormatPr defaultRowHeight="14.25" x14ac:dyDescent="0.45"/>
  <sheetData>
    <row r="1" spans="1:6" x14ac:dyDescent="0.45">
      <c r="A1">
        <v>0</v>
      </c>
      <c r="B1">
        <v>28</v>
      </c>
      <c r="E1">
        <f>A1*28</f>
        <v>0</v>
      </c>
      <c r="F1">
        <v>28</v>
      </c>
    </row>
    <row r="2" spans="1:6" x14ac:dyDescent="0.45">
      <c r="A2">
        <v>1</v>
      </c>
      <c r="B2">
        <v>11</v>
      </c>
      <c r="E2">
        <f>F1</f>
        <v>28</v>
      </c>
      <c r="F2">
        <f>B2*30</f>
        <v>330</v>
      </c>
    </row>
    <row r="3" spans="1:6" x14ac:dyDescent="0.45">
      <c r="A3">
        <v>1</v>
      </c>
      <c r="B3">
        <v>4</v>
      </c>
      <c r="E3">
        <f>F2</f>
        <v>330</v>
      </c>
      <c r="F3">
        <f>B3*30*12</f>
        <v>1440</v>
      </c>
    </row>
    <row r="4" spans="1:6" x14ac:dyDescent="0.45">
      <c r="A4">
        <v>5</v>
      </c>
      <c r="B4">
        <v>9</v>
      </c>
      <c r="E4">
        <f t="shared" ref="E4:E13" si="0">F3</f>
        <v>1440</v>
      </c>
      <c r="F4">
        <f>B4*30*12</f>
        <v>3240</v>
      </c>
    </row>
    <row r="5" spans="1:6" x14ac:dyDescent="0.45">
      <c r="A5">
        <v>10</v>
      </c>
      <c r="B5">
        <v>14</v>
      </c>
      <c r="E5">
        <f t="shared" si="0"/>
        <v>3240</v>
      </c>
      <c r="F5">
        <f>B5*30*12</f>
        <v>5040</v>
      </c>
    </row>
    <row r="6" spans="1:6" x14ac:dyDescent="0.45">
      <c r="A6">
        <v>15</v>
      </c>
      <c r="B6">
        <v>17</v>
      </c>
      <c r="E6">
        <f t="shared" si="0"/>
        <v>5040</v>
      </c>
      <c r="F6">
        <f>B6*30*12</f>
        <v>6120</v>
      </c>
    </row>
    <row r="7" spans="1:6" x14ac:dyDescent="0.45">
      <c r="A7">
        <v>18</v>
      </c>
      <c r="B7">
        <v>19</v>
      </c>
      <c r="E7">
        <f t="shared" si="0"/>
        <v>6120</v>
      </c>
      <c r="F7">
        <f>B7*30*12</f>
        <v>6840</v>
      </c>
    </row>
    <row r="8" spans="1:6" x14ac:dyDescent="0.45">
      <c r="A8">
        <v>20</v>
      </c>
      <c r="B8">
        <v>34</v>
      </c>
      <c r="E8">
        <f t="shared" si="0"/>
        <v>6840</v>
      </c>
      <c r="F8">
        <f>B8*30*12</f>
        <v>12240</v>
      </c>
    </row>
    <row r="9" spans="1:6" x14ac:dyDescent="0.45">
      <c r="A9">
        <v>35</v>
      </c>
      <c r="B9">
        <v>49</v>
      </c>
      <c r="E9">
        <f t="shared" si="0"/>
        <v>12240</v>
      </c>
      <c r="F9">
        <f>B9*30*12</f>
        <v>17640</v>
      </c>
    </row>
    <row r="10" spans="1:6" x14ac:dyDescent="0.45">
      <c r="A10">
        <v>50</v>
      </c>
      <c r="B10">
        <v>59</v>
      </c>
      <c r="E10">
        <f t="shared" si="0"/>
        <v>17640</v>
      </c>
      <c r="F10">
        <f>B10*30*12</f>
        <v>21240</v>
      </c>
    </row>
    <row r="11" spans="1:6" x14ac:dyDescent="0.45">
      <c r="A11">
        <v>60</v>
      </c>
      <c r="B11">
        <v>69</v>
      </c>
      <c r="E11">
        <f t="shared" si="0"/>
        <v>21240</v>
      </c>
      <c r="F11">
        <f>B11*30*12</f>
        <v>24840</v>
      </c>
    </row>
    <row r="12" spans="1:6" x14ac:dyDescent="0.45">
      <c r="B12">
        <v>70</v>
      </c>
      <c r="E12">
        <f t="shared" si="0"/>
        <v>24840</v>
      </c>
      <c r="F12">
        <f>B12*30*12</f>
        <v>25200</v>
      </c>
    </row>
    <row r="13" spans="1:6" x14ac:dyDescent="0.45">
      <c r="E13">
        <f t="shared" si="0"/>
        <v>25200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GOLDCHEST</vt:lpstr>
      <vt:lpstr>HEALTHNOTES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MacBookAir</dc:creator>
  <cp:lastModifiedBy>MacBookAir</cp:lastModifiedBy>
  <dcterms:created xsi:type="dcterms:W3CDTF">2022-08-28T16:50:37Z</dcterms:created>
  <dcterms:modified xsi:type="dcterms:W3CDTF">2022-10-13T16:22:14Z</dcterms:modified>
</cp:coreProperties>
</file>